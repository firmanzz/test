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 Gaj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<sst xmlns="http://schemas.openxmlformats.org/spreadsheetml/2006/main" count="43" uniqueCount="39">
  <si>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PT AGATHOERGEO BRAKAH SIROS</t>
  </si>
  <si>
    <t xml:space="preserve">Daftar Gaji Bulanan (Pengajuan Payroll)</t>
  </si>
  <si>
    <t xml:space="preserve">Periode / Bulan</t>
  </si>
  <si>
    <t xml:space="preserve">[ mis. Juli 2026 ]</t>
  </si>
  <si>
    <t xml:space="preserve">Kode form</t>
  </si>
  <si>
    <t xml:space="preserve">FRM-FIN-06</t>
  </si>
  <si>
    <t xml:space="preserve">Kode nomor:</t>
  </si>
  <si>
    <t xml:space="preserve">GAJ/ABS/[MM-YYYY]/[NNN]</t>
  </si>
  <si>
    <t xml:space="preserve">Disusun oleh</t>
  </si>
  <si>
    <t xml:space="preserve">[ Nama / Jabatan ]</t>
  </si>
  <si>
    <t xml:space="preserve">Jumlah karyawan</t>
  </si>
  <si>
    <t xml:space="preserve">Arsip:</t>
  </si>
  <si>
    <t xml:space="preserve">Drive 03-FIN (Private) — dokumen sensitif</t>
  </si>
  <si>
    <t xml:space="preserve">No</t>
  </si>
  <si>
    <t xml:space="preserve">Nama</t>
  </si>
  <si>
    <t xml:space="preserve">Jabatan</t>
  </si>
  <si>
    <t xml:space="preserve">Gaji Penuh (Rp)</t>
  </si>
  <si>
    <t xml:space="preserve">Gaji Pokok 65% (Rp)</t>
  </si>
  <si>
    <t xml:space="preserve">Tunjangan 35% (Rp)</t>
  </si>
  <si>
    <t xml:space="preserve">Hari Dijalani</t>
  </si>
  <si>
    <t xml:space="preserve">Hari Sebulan</t>
  </si>
  <si>
    <t xml:space="preserve">Faktor</t>
  </si>
  <si>
    <t xml:space="preserve">Gaji Dibayar (Rp)</t>
  </si>
  <si>
    <t xml:space="preserve">Rekening</t>
  </si>
  <si>
    <t xml:space="preserve">CONTOH — Marcello (hapus sebelum dipakai)</t>
  </si>
  <si>
    <t xml:space="preserve">Corporate Secretary Officer</t>
  </si>
  <si>
    <t xml:space="preserve">BCA 123xxxx</t>
  </si>
  <si>
    <t xml:space="preserve">TOTAL</t>
  </si>
  <si>
    <t xml:space="preserve">• Cara isi (sel kuning = diisi): Nama, Jabatan, Gaji Penuh, Hari Dijalani, Hari Sebulan, Rekening.</t>
  </si>
  <si>
    <t xml:space="preserve">• Otomatis (rumus): Gaji Pokok = 65% × Gaji Penuh · Tunjangan = 35% × Gaji Penuh · Faktor = Hari Dijalani ÷ Hari Sebulan · Gaji Dibayar = Gaji Penuh × Faktor.</t>
  </si>
  <si>
    <t xml:space="preserve">• Prorata: bulan penuh → isi Hari Dijalani = Hari Sebulan (Faktor 100%). Gunakan basis hari yang konsisten (hari kerja atau kalender).</t>
  </si>
  <si>
    <t xml:space="preserve">• Potongan: template ini TANPA potongan (BPJS/PPh 21) mengikuti pola BSN. Sesuaikan bila kebijakan gaji ABS berbeda.</t>
  </si>
  <si>
    <t xml:space="preserve">• Baris CONTOH hanya ilustrasi — hapus sebelum dipakai. Status DRAFT sampai disahkan Direktur.</t>
  </si>
  <si>
    <t xml:space="preserve">• Kode form: FRM-FIN-06 (seri Finance). Arsip di Drive 03-FIN (Private) — data gaji sensitif.</t>
  </si>
  <si>
    <t xml:space="preserve">Diajukan (Finance)</t>
  </si>
  <si>
    <t xml:space="preserve">Diperiksa (Legal &amp; HRD)</t>
  </si>
  <si>
    <t xml:space="preserve">Disetujui (Direktur)</t>
  </si>
  <si>
    <t xml:space="preserve">__________________</t>
  </si>
  <si>
    <t xml:space="preserve">Nama / Tanggal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</si>
</sst>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976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9"/>
      <color rgb="FF1F397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6FB"/>
      </patternFill>
    </fill>
    <fill>
      <patternFill patternType="solid">
        <fgColor rgb="FF1F3976"/>
        <bgColor rgb="FF003366"/>
      </patternFill>
    </fill>
    <fill>
      <patternFill patternType="solid">
        <fgColor rgb="FFF2F6FB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976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F3976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double">
        <color rgb="FF1F3976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397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475920</xdr:colOff>
      <xdr:row>1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7592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22.35" hidden="false" customHeight="true" outlineLevel="0" collapsed="false">
      <c r="A3" s="4" t="s">
        <v>2</v>
      </c>
      <c r="B3" s="5" t="s">
        <v>3</v>
      </c>
      <c r="C3" s="5"/>
      <c r="D3" s="4" t="s">
        <v>4</v>
      </c>
      <c r="E3" s="6" t="s">
        <v>5</v>
      </c>
      <c r="F3" s="6"/>
      <c r="H3" s="4" t="s">
        <v>6</v>
      </c>
      <c r="I3" s="6" t="s">
        <v>7</v>
      </c>
      <c r="J3" s="6"/>
      <c r="K3" s="6"/>
    </row>
    <row r="4" customFormat="false" ht="22.35" hidden="false" customHeight="true" outlineLevel="0" collapsed="false">
      <c r="A4" s="4" t="s">
        <v>8</v>
      </c>
      <c r="B4" s="5" t="s">
        <v>9</v>
      </c>
      <c r="C4" s="5"/>
      <c r="D4" s="4" t="s">
        <v>10</v>
      </c>
      <c r="E4" s="7" t="n">
        <f aca="false">COUNTIF(D7:D17,"&gt;0")</f>
        <v>1</v>
      </c>
      <c r="H4" s="4" t="s">
        <v>11</v>
      </c>
      <c r="I4" s="6" t="s">
        <v>12</v>
      </c>
      <c r="J4" s="6"/>
      <c r="K4" s="6"/>
    </row>
    <row r="6" customFormat="false" ht="30" hidden="false" customHeight="true" outlineLevel="0" collapsed="false">
      <c r="A6" s="8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8" t="s">
        <v>21</v>
      </c>
      <c r="J6" s="8" t="s">
        <v>22</v>
      </c>
      <c r="K6" s="8" t="s">
        <v>23</v>
      </c>
    </row>
    <row r="7" customFormat="false" ht="15" hidden="false" customHeight="false" outlineLevel="0" collapsed="false">
      <c r="A7" s="9" t="n">
        <v>1</v>
      </c>
      <c r="B7" s="10" t="s">
        <v>24</v>
      </c>
      <c r="C7" s="10" t="s">
        <v>25</v>
      </c>
      <c r="D7" s="11" t="n">
        <v>8000000</v>
      </c>
      <c r="E7" s="12" t="n">
        <f aca="false">D7*0.65</f>
        <v>5200000</v>
      </c>
      <c r="F7" s="12" t="n">
        <f aca="false">D7*0.35</f>
        <v>2800000</v>
      </c>
      <c r="G7" s="13" t="n">
        <v>20</v>
      </c>
      <c r="H7" s="13" t="n">
        <v>22</v>
      </c>
      <c r="I7" s="14" t="n">
        <f aca="false">IF(H7=0,0,G7/H7)</f>
        <v>0.909090909090909</v>
      </c>
      <c r="J7" s="12" t="n">
        <f aca="false">D7*I7</f>
        <v>7272727.27272727</v>
      </c>
      <c r="K7" s="10" t="s">
        <v>26</v>
      </c>
    </row>
    <row r="8" customFormat="false" ht="15" hidden="false" customHeight="false" outlineLevel="0" collapsed="false">
      <c r="A8" s="15" t="n">
        <v>2</v>
      </c>
      <c r="B8" s="16"/>
      <c r="C8" s="16"/>
      <c r="D8" s="17"/>
      <c r="E8" s="18" t="n">
        <f aca="false">D8*0.65</f>
        <v>0</v>
      </c>
      <c r="F8" s="18" t="n">
        <f aca="false">D8*0.35</f>
        <v>0</v>
      </c>
      <c r="G8" s="19"/>
      <c r="H8" s="19"/>
      <c r="I8" s="20" t="n">
        <f aca="false">IF(H8=0,0,G8/H8)</f>
        <v>0</v>
      </c>
      <c r="J8" s="18" t="n">
        <f aca="false">D8*I8</f>
        <v>0</v>
      </c>
      <c r="K8" s="16"/>
    </row>
    <row r="9" customFormat="false" ht="15" hidden="false" customHeight="false" outlineLevel="0" collapsed="false">
      <c r="A9" s="9" t="n">
        <v>3</v>
      </c>
      <c r="B9" s="16"/>
      <c r="C9" s="16"/>
      <c r="D9" s="17"/>
      <c r="E9" s="12" t="n">
        <f aca="false">D9*0.65</f>
        <v>0</v>
      </c>
      <c r="F9" s="12" t="n">
        <f aca="false">D9*0.35</f>
        <v>0</v>
      </c>
      <c r="G9" s="19"/>
      <c r="H9" s="19"/>
      <c r="I9" s="14" t="n">
        <f aca="false">IF(H9=0,0,G9/H9)</f>
        <v>0</v>
      </c>
      <c r="J9" s="12" t="n">
        <f aca="false">D9*I9</f>
        <v>0</v>
      </c>
      <c r="K9" s="16"/>
    </row>
    <row r="10" customFormat="false" ht="15" hidden="false" customHeight="false" outlineLevel="0" collapsed="false">
      <c r="A10" s="15" t="n">
        <v>4</v>
      </c>
      <c r="B10" s="16"/>
      <c r="C10" s="16"/>
      <c r="D10" s="17"/>
      <c r="E10" s="18" t="n">
        <f aca="false">D10*0.65</f>
        <v>0</v>
      </c>
      <c r="F10" s="18" t="n">
        <f aca="false">D10*0.35</f>
        <v>0</v>
      </c>
      <c r="G10" s="19"/>
      <c r="H10" s="19"/>
      <c r="I10" s="20" t="n">
        <f aca="false">IF(H10=0,0,G10/H10)</f>
        <v>0</v>
      </c>
      <c r="J10" s="18" t="n">
        <f aca="false">D10*I10</f>
        <v>0</v>
      </c>
      <c r="K10" s="16"/>
    </row>
    <row r="11" customFormat="false" ht="15" hidden="false" customHeight="false" outlineLevel="0" collapsed="false">
      <c r="A11" s="9" t="n">
        <v>5</v>
      </c>
      <c r="B11" s="16"/>
      <c r="C11" s="16"/>
      <c r="D11" s="17"/>
      <c r="E11" s="12" t="n">
        <f aca="false">D11*0.65</f>
        <v>0</v>
      </c>
      <c r="F11" s="12" t="n">
        <f aca="false">D11*0.35</f>
        <v>0</v>
      </c>
      <c r="G11" s="19"/>
      <c r="H11" s="19"/>
      <c r="I11" s="14" t="n">
        <f aca="false">IF(H11=0,0,G11/H11)</f>
        <v>0</v>
      </c>
      <c r="J11" s="12" t="n">
        <f aca="false">D11*I11</f>
        <v>0</v>
      </c>
      <c r="K11" s="16"/>
    </row>
    <row r="12" customFormat="false" ht="15" hidden="false" customHeight="false" outlineLevel="0" collapsed="false">
      <c r="A12" s="15" t="n">
        <v>6</v>
      </c>
      <c r="B12" s="16"/>
      <c r="C12" s="16"/>
      <c r="D12" s="17"/>
      <c r="E12" s="18" t="n">
        <f aca="false">D12*0.65</f>
        <v>0</v>
      </c>
      <c r="F12" s="18" t="n">
        <f aca="false">D12*0.35</f>
        <v>0</v>
      </c>
      <c r="G12" s="19"/>
      <c r="H12" s="19"/>
      <c r="I12" s="20" t="n">
        <f aca="false">IF(H12=0,0,G12/H12)</f>
        <v>0</v>
      </c>
      <c r="J12" s="18" t="n">
        <f aca="false">D12*I12</f>
        <v>0</v>
      </c>
      <c r="K12" s="16"/>
    </row>
    <row r="13" customFormat="false" ht="15" hidden="false" customHeight="false" outlineLevel="0" collapsed="false">
      <c r="A13" s="9" t="n">
        <v>7</v>
      </c>
      <c r="B13" s="16"/>
      <c r="C13" s="16"/>
      <c r="D13" s="17"/>
      <c r="E13" s="12" t="n">
        <f aca="false">D13*0.65</f>
        <v>0</v>
      </c>
      <c r="F13" s="12" t="n">
        <f aca="false">D13*0.35</f>
        <v>0</v>
      </c>
      <c r="G13" s="19"/>
      <c r="H13" s="19"/>
      <c r="I13" s="14" t="n">
        <f aca="false">IF(H13=0,0,G13/H13)</f>
        <v>0</v>
      </c>
      <c r="J13" s="12" t="n">
        <f aca="false">D13*I13</f>
        <v>0</v>
      </c>
      <c r="K13" s="16"/>
    </row>
    <row r="14" customFormat="false" ht="15" hidden="false" customHeight="false" outlineLevel="0" collapsed="false">
      <c r="A14" s="15" t="n">
        <v>8</v>
      </c>
      <c r="B14" s="16"/>
      <c r="C14" s="16"/>
      <c r="D14" s="17"/>
      <c r="E14" s="18" t="n">
        <f aca="false">D14*0.65</f>
        <v>0</v>
      </c>
      <c r="F14" s="18" t="n">
        <f aca="false">D14*0.35</f>
        <v>0</v>
      </c>
      <c r="G14" s="19"/>
      <c r="H14" s="19"/>
      <c r="I14" s="20" t="n">
        <f aca="false">IF(H14=0,0,G14/H14)</f>
        <v>0</v>
      </c>
      <c r="J14" s="18" t="n">
        <f aca="false">D14*I14</f>
        <v>0</v>
      </c>
      <c r="K14" s="16"/>
    </row>
    <row r="15" customFormat="false" ht="15" hidden="false" customHeight="false" outlineLevel="0" collapsed="false">
      <c r="A15" s="9" t="n">
        <v>9</v>
      </c>
      <c r="B15" s="16"/>
      <c r="C15" s="16"/>
      <c r="D15" s="17"/>
      <c r="E15" s="12" t="n">
        <f aca="false">D15*0.65</f>
        <v>0</v>
      </c>
      <c r="F15" s="12" t="n">
        <f aca="false">D15*0.35</f>
        <v>0</v>
      </c>
      <c r="G15" s="19"/>
      <c r="H15" s="19"/>
      <c r="I15" s="14" t="n">
        <f aca="false">IF(H15=0,0,G15/H15)</f>
        <v>0</v>
      </c>
      <c r="J15" s="12" t="n">
        <f aca="false">D15*I15</f>
        <v>0</v>
      </c>
      <c r="K15" s="16"/>
    </row>
    <row r="16" customFormat="false" ht="15" hidden="false" customHeight="false" outlineLevel="0" collapsed="false">
      <c r="A16" s="15" t="n">
        <v>10</v>
      </c>
      <c r="B16" s="16"/>
      <c r="C16" s="16"/>
      <c r="D16" s="17"/>
      <c r="E16" s="18" t="n">
        <f aca="false">D16*0.65</f>
        <v>0</v>
      </c>
      <c r="F16" s="18" t="n">
        <f aca="false">D16*0.35</f>
        <v>0</v>
      </c>
      <c r="G16" s="19"/>
      <c r="H16" s="19"/>
      <c r="I16" s="20" t="n">
        <f aca="false">IF(H16=0,0,G16/H16)</f>
        <v>0</v>
      </c>
      <c r="J16" s="18" t="n">
        <f aca="false">D16*I16</f>
        <v>0</v>
      </c>
      <c r="K16" s="16"/>
    </row>
    <row r="17" customFormat="false" ht="15" hidden="false" customHeight="false" outlineLevel="0" collapsed="false">
      <c r="A17" s="9" t="n">
        <v>11</v>
      </c>
      <c r="B17" s="16"/>
      <c r="C17" s="16"/>
      <c r="D17" s="17"/>
      <c r="E17" s="12" t="n">
        <f aca="false">D17*0.65</f>
        <v>0</v>
      </c>
      <c r="F17" s="12" t="n">
        <f aca="false">D17*0.35</f>
        <v>0</v>
      </c>
      <c r="G17" s="19"/>
      <c r="H17" s="19"/>
      <c r="I17" s="14" t="n">
        <f aca="false">IF(H17=0,0,G17/H17)</f>
        <v>0</v>
      </c>
      <c r="J17" s="12" t="n">
        <f aca="false">D17*I17</f>
        <v>0</v>
      </c>
      <c r="K17" s="16"/>
    </row>
    <row r="18" customFormat="false" ht="15" hidden="false" customHeight="false" outlineLevel="0" collapsed="false">
      <c r="A18" s="21"/>
      <c r="B18" s="21"/>
      <c r="C18" s="22" t="s">
        <v>27</v>
      </c>
      <c r="D18" s="23" t="n">
        <f aca="false">SUM(D7:D17)</f>
        <v>8000000</v>
      </c>
      <c r="E18" s="21"/>
      <c r="F18" s="21"/>
      <c r="G18" s="21"/>
      <c r="H18" s="21"/>
      <c r="I18" s="21"/>
      <c r="J18" s="23" t="n">
        <f aca="false">SUM(J7:J17)</f>
        <v>7272727.27272727</v>
      </c>
      <c r="K18" s="21"/>
    </row>
    <row r="20" customFormat="false" ht="15" hidden="false" customHeight="true" outlineLevel="0" collapsed="false">
      <c r="A20" s="24" t="s">
        <v>28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customFormat="false" ht="15" hidden="false" customHeight="true" outlineLevel="0" collapsed="false">
      <c r="A21" s="24" t="s">
        <v>29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customFormat="false" ht="15" hidden="false" customHeight="true" outlineLevel="0" collapsed="false">
      <c r="A22" s="24" t="s">
        <v>30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customFormat="false" ht="15" hidden="false" customHeight="true" outlineLevel="0" collapsed="false">
      <c r="A23" s="24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5" hidden="false" customHeight="true" outlineLevel="0" collapsed="false">
      <c r="A24" s="24" t="s">
        <v>32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customFormat="false" ht="15" hidden="false" customHeight="true" outlineLevel="0" collapsed="false">
      <c r="A25" s="24" t="s">
        <v>33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7" customFormat="false" ht="32.8" hidden="false" customHeight="false" outlineLevel="0" collapsed="false">
      <c r="A27" s="4" t="s">
        <v>34</v>
      </c>
      <c r="E27" s="4" t="s">
        <v>35</v>
      </c>
      <c r="I27" s="4" t="s">
        <v>36</v>
      </c>
    </row>
    <row r="29" customFormat="false" ht="15" hidden="false" customHeight="false" outlineLevel="0" collapsed="false">
      <c r="A29" s="25" t="s">
        <v>37</v>
      </c>
      <c r="E29" s="25" t="s">
        <v>37</v>
      </c>
      <c r="I29" s="25" t="s">
        <v>37</v>
      </c>
    </row>
    <row r="30" customFormat="false" ht="15" hidden="false" customHeight="false" outlineLevel="0" collapsed="false">
      <c r="A30" s="26" t="s">
        <v>38</v>
      </c>
      <c r="E30" s="26" t="s">
        <v>38</v>
      </c>
      <c r="I30" s="26" t="s">
        <v>38</v>
      </c>
    </row>
  </sheetData>
  <mergeCells count="13">
    <mergeCell ref="B1:K1"/>
    <mergeCell ref="B2:K2"/>
    <mergeCell ref="B3:C3"/>
    <mergeCell ref="E3:F3"/>
    <mergeCell ref="I3:K3"/>
    <mergeCell ref="B4:C4"/>
    <mergeCell ref="I4:K4"/>
    <mergeCell ref="A20:K20"/>
    <mergeCell ref="A21:K21"/>
    <mergeCell ref="A22:K22"/>
    <mergeCell ref="A23:K23"/>
    <mergeCell ref="A24:K24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2026-07-30T05:21:01Z</dcterms:created>
  <dc:creator>openpyxl</dc:creator>
  <dc:description/>
  <dc:language>en-US</dc:language>
  <cp:lastModifiedBy/>
  <dcterms:modified xsi:type="dcterms:W3CDTF">2026-07-30T05:21:01Z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